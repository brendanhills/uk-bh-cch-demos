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Explainer" sheetId="1" state="visible" r:id="rId1"/>
    <sheet name="Cost Calculator" sheetId="2" state="visible" r:id="rId2"/>
    <sheet name="Glossary Manag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%"/>
    <numFmt numFmtId="166" formatCode="$#,##0.00"/>
    <numFmt numFmtId="167" formatCode="$#,##0.000"/>
    <numFmt numFmtId="168" formatCode="$#,##0.00000"/>
    <numFmt numFmtId="169" formatCode="$#,##0.0000"/>
    <numFmt numFmtId="170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b val="1"/>
      <color rgb="001E293B"/>
      <sz val="11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E0F2FE"/>
        <bgColor rgb="00E0F2FE"/>
      </patternFill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47556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164" fontId="5" fillId="0" borderId="1" applyAlignment="1" pivotButton="0" quotePrefix="0" xfId="0">
      <alignment horizontal="right" vertical="center"/>
    </xf>
    <xf numFmtId="0" fontId="6" fillId="0" borderId="1" pivotButton="0" quotePrefix="0" xfId="0"/>
    <xf numFmtId="3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0" fontId="5" fillId="4" borderId="2" pivotButton="0" quotePrefix="0" xfId="0"/>
    <xf numFmtId="166" fontId="5" fillId="4" borderId="2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70" fontId="6" fillId="0" borderId="1" applyAlignment="1" pivotButton="0" quotePrefix="0" xfId="0">
      <alignment horizontal="right" vertical="center"/>
    </xf>
    <xf numFmtId="169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45" customWidth="1" min="3" max="3"/>
    <col width="50" customWidth="1" min="4" max="4"/>
  </cols>
  <sheetData>
    <row r="1" ht="35" customHeight="1">
      <c r="A1" s="1" t="inlineStr">
        <is>
          <t>HealthDirect Simultaneous Interpreter: Model Architecture &amp; Roles</t>
        </is>
      </c>
    </row>
    <row r="3" ht="24" customHeight="1">
      <c r="A3" s="2" t="inlineStr">
        <is>
          <t>SECTION 1: OVERVIEW &amp; STRATEGIC HIGHLIGHTS</t>
        </is>
      </c>
    </row>
    <row r="4" ht="50" customHeight="1">
      <c r="A4" s="3" t="inlineStr">
        <is>
          <t>This workbook provides a rigorous, data-driven cost and performance model comparing three alternative deployment approaches for real-time translation on HealthDirect Video Call, as well as the new post-call clinical summary workflow.
Model projections are based on official scale parameters (1.8 Million annual consultations, rounded 30-minute average, and 5% to 10% translation target).</t>
        </is>
      </c>
    </row>
    <row r="6" ht="24" customHeight="1">
      <c r="A6" s="2" t="inlineStr">
        <is>
          <t>SECTION 2: MODEL ARCHITECTURE MATRIX</t>
        </is>
      </c>
    </row>
    <row r="7" ht="22" customHeight="1">
      <c r="A7" s="4" t="inlineStr">
        <is>
          <t>Model / Approach</t>
        </is>
      </c>
      <c r="B7" s="4" t="inlineStr">
        <is>
          <t>Primary Role in System</t>
        </is>
      </c>
      <c r="C7" s="4" t="inlineStr">
        <is>
          <t>Pacing &amp; Audio Streaming Profile</t>
        </is>
      </c>
      <c r="D7" s="4" t="inlineStr">
        <is>
          <t>Financial &amp; Operational Implications</t>
        </is>
      </c>
    </row>
    <row r="8" ht="85" customHeight="1">
      <c r="A8" s="5" t="inlineStr">
        <is>
          <t>Approach A:
Native Translation Baseline
(gemini-3.5-live-translate-preview)</t>
        </is>
      </c>
      <c r="B8" s="6" t="inlineStr">
        <is>
          <t>Handles real-time Patient-to-Nurse and Nurse-to-Patient simultaneous translation natively.
Post-call summary dynamically uses gemini-3.5-flash to align model families.</t>
        </is>
      </c>
      <c r="C8" s="6" t="inlineStr">
        <is>
          <t>Hardware-accelerated native translation pacing. Summary is triggered as a single non-streaming unary text-to-text call immediately after session closure.</t>
        </is>
      </c>
      <c r="D8" s="6" t="inlineStr">
        <is>
          <t>RECOMMENDED BASELINE.
Saves 7.5% to 8.5% on streaming costs. Dynamic post-call summarization adds only $0.00096 USD per session (0.14% overhead), fully integrated in totals.</t>
        </is>
      </c>
    </row>
    <row r="9" ht="85" customHeight="1">
      <c r="A9" s="5" t="inlineStr">
        <is>
          <t>Approach B:
Prompt-Driven Flash 3.1
(gemini-3.1-flash)</t>
        </is>
      </c>
      <c r="B9" s="6" t="inlineStr">
        <is>
          <t>Alternative translation approach where translation and pacing are guided via custom developer prompts.
Post-call summary dynamically uses gemini-3.1-flash to align model families.</t>
        </is>
      </c>
      <c r="C9" s="6" t="inlineStr">
        <is>
          <t>Requires custom pacing prompts and manual turn buffers, adding a +12.5% duration overhead to streaming audio outputs.</t>
        </is>
      </c>
      <c r="D9" s="6" t="inlineStr">
        <is>
          <t>Incurs higher streaming and text fees due to the pacing expansion and prompt instruction size. Dynamic post-call summarization is fully integrated.</t>
        </is>
      </c>
    </row>
    <row r="10" ht="85" customHeight="1">
      <c r="A10" s="5" t="inlineStr">
        <is>
          <t>Approach C:
Prompt-Driven Flash 2.5
(gemini-2.5-flash)</t>
        </is>
      </c>
      <c r="B10" s="6" t="inlineStr">
        <is>
          <t>Legacy translation approach where translation and pacing are guided via legacy custom system instructions.
Post-call summary dynamically uses gemini-2.5-flash to align model families.</t>
        </is>
      </c>
      <c r="C10" s="6" t="inlineStr">
        <is>
          <t>Requires identical custom pacing guidelines as Approach B, adding a +12.5% duration overhead to streaming audio outputs.</t>
        </is>
      </c>
      <c r="D10" s="6" t="inlineStr">
        <is>
          <t>Lowest unit text-token rate, but this minor saving is completely offset by high streaming rates. Dynamic post-call summarization is fully integrated.</t>
        </is>
      </c>
    </row>
    <row r="11" ht="85" customHeight="1">
      <c r="A11" s="5" t="inlineStr">
        <is>
          <t>Clinical Summary Feature:
Post-Call Summarization
(Dynamic Family Mirroring)</t>
        </is>
      </c>
      <c r="B11" s="6" t="inlineStr">
        <is>
          <t>Compiles the completed session transcript and generates a structured clinical SOAP note / summary immediately after the call is finished.</t>
        </is>
      </c>
      <c r="C11" s="6" t="inlineStr">
        <is>
          <t>Dynamic family matching: Uses 3.5 Flash for Approach A, 3.1 Flash for Approach B, and 2.5 Flash for Approach C to maintain system-wide architectural consistency.</t>
        </is>
      </c>
      <c r="D11" s="6" t="inlineStr">
        <is>
          <t>Highly Cost-Efficient.
Costs under 1/10th of a single cent per call across all model families, representing a minor 0.14% session cost overhead.</t>
        </is>
      </c>
    </row>
  </sheetData>
  <mergeCells count="3">
    <mergeCell ref="A4:D4"/>
    <mergeCell ref="A3:D3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  <col width="32" customWidth="1" min="4" max="4"/>
    <col width="48" customWidth="1" min="5" max="5"/>
  </cols>
  <sheetData>
    <row r="1" ht="35" customHeight="1">
      <c r="A1" s="1" t="inlineStr">
        <is>
          <t>HealthDirect Simultaneous Translation Cost Calculator</t>
        </is>
      </c>
    </row>
    <row r="2"/>
    <row r="3" ht="24" customHeight="1">
      <c r="A3" s="2" t="inlineStr">
        <is>
          <t>SECTION 1: GLOBAL PARAMETERS</t>
        </is>
      </c>
    </row>
    <row r="4" ht="22" customHeight="1">
      <c r="A4" s="4" t="inlineStr">
        <is>
          <t>Parameter</t>
        </is>
      </c>
      <c r="B4" s="4" t="inlineStr">
        <is>
          <t>Value</t>
        </is>
      </c>
      <c r="C4" s="4" t="inlineStr">
        <is>
          <t>Description</t>
        </is>
      </c>
      <c r="D4" s="4" t="inlineStr"/>
      <c r="E4" s="4" t="inlineStr"/>
    </row>
    <row r="5" ht="20" customHeight="1">
      <c r="A5" s="7" t="inlineStr">
        <is>
          <t>AUD_USD_Exchange_Rate</t>
        </is>
      </c>
      <c r="B5" s="8" t="n">
        <v>1.515</v>
      </c>
      <c r="C5" s="9" t="inlineStr">
        <is>
          <t>Indicative exchange rate (1 USD = 1.515 AUD)</t>
        </is>
      </c>
    </row>
    <row r="6" ht="20" customHeight="1">
      <c r="A6" s="7" t="inlineStr">
        <is>
          <t>Average_Session_Duration_Minutes</t>
        </is>
      </c>
      <c r="B6" s="10" t="n">
        <v>30</v>
      </c>
      <c r="C6" s="9" t="inlineStr">
        <is>
          <t>Adjustable production clinical session length in minutes (rounded to 30 mins)</t>
        </is>
      </c>
    </row>
    <row r="7" ht="20" customHeight="1">
      <c r="A7" s="7" t="inlineStr">
        <is>
          <t>Annual_Total_Call_Volume</t>
        </is>
      </c>
      <c r="B7" s="10" t="n">
        <v>1800000</v>
      </c>
      <c r="C7" s="9" t="inlineStr">
        <is>
          <t>HealthDirect FY Video Call total consultation scale</t>
        </is>
      </c>
    </row>
    <row r="8" ht="20" customHeight="1">
      <c r="A8" s="7" t="inlineStr">
        <is>
          <t>Target_Translation_Percentage</t>
        </is>
      </c>
      <c r="B8" s="11" t="n">
        <v>0.05</v>
      </c>
      <c r="C8" s="9" t="inlineStr">
        <is>
          <t>Estimated percentage of total call volume benefiting from translation (Low: 5%, High: 10%)</t>
        </is>
      </c>
    </row>
    <row r="9" ht="20" customHeight="1">
      <c r="A9" s="7" t="inlineStr">
        <is>
          <t>Weeks_Per_Year</t>
        </is>
      </c>
      <c r="B9" s="10" t="n">
        <v>52</v>
      </c>
      <c r="C9" s="9" t="inlineStr">
        <is>
          <t>Standard billing weeks per calendar year</t>
        </is>
      </c>
    </row>
    <row r="10" ht="20" customHeight="1">
      <c r="A10" s="7" t="inlineStr">
        <is>
          <t>Active_Speech_Duty_Cycle</t>
        </is>
      </c>
      <c r="B10" s="11" t="n">
        <v>0.4</v>
      </c>
      <c r="C10" s="9" t="inlineStr">
        <is>
          <t>Estimated percentage per channel of active speech (microphones only stream when active)</t>
        </is>
      </c>
    </row>
    <row r="11" ht="20" customHeight="1">
      <c r="A11" s="7" t="inlineStr">
        <is>
          <t>Barge_In_Overlap_Overhead</t>
        </is>
      </c>
      <c r="B11" s="11" t="n">
        <v>0.05</v>
      </c>
      <c r="C11" s="9" t="inlineStr">
        <is>
          <t>Estimated streaming &amp; playback duration overhead to account for overlap and barge-in</t>
        </is>
      </c>
    </row>
    <row r="12" ht="20" customHeight="1">
      <c r="A12" s="7" t="inlineStr">
        <is>
          <t>Weekly_Session_Volume</t>
        </is>
      </c>
      <c r="B12" s="10">
        <f>B7*B8/B9</f>
        <v/>
      </c>
      <c r="C12" s="9" t="inlineStr">
        <is>
          <t>Dynamic weekly session volume: (Annual Volume * Target Rate) / Weeks Per Year</t>
        </is>
      </c>
    </row>
    <row r="13"/>
    <row r="14" ht="24" customHeight="1">
      <c r="A14" s="2" t="inlineStr">
        <is>
          <t>SECTION 2: MODEL UNIT RATES (USD per Million Tokens)</t>
        </is>
      </c>
    </row>
    <row r="15" ht="22" customHeight="1">
      <c r="A15" s="4" t="inlineStr">
        <is>
          <t>Service/Item</t>
        </is>
      </c>
      <c r="B15" s="12" t="inlineStr">
        <is>
          <t>gemini-3.5-live-translate-preview</t>
        </is>
      </c>
      <c r="C15" s="12" t="inlineStr">
        <is>
          <t>gemini-3.1-flash</t>
        </is>
      </c>
      <c r="D15" s="12" t="inlineStr">
        <is>
          <t>gemini-2.5-flash</t>
        </is>
      </c>
      <c r="E15" s="4" t="inlineStr">
        <is>
          <t>Unit</t>
        </is>
      </c>
    </row>
    <row r="16" ht="20" customHeight="1">
      <c r="A16" s="7" t="inlineStr">
        <is>
          <t>Audio Input</t>
        </is>
      </c>
      <c r="B16" s="13" t="n">
        <v>3</v>
      </c>
      <c r="C16" s="13" t="n">
        <v>3</v>
      </c>
      <c r="D16" s="13" t="n">
        <v>3</v>
      </c>
      <c r="E16" s="9" t="inlineStr">
        <is>
          <t>per Million Tokens</t>
        </is>
      </c>
    </row>
    <row r="17" ht="20" customHeight="1">
      <c r="A17" s="7" t="inlineStr">
        <is>
          <t>Audio Output</t>
        </is>
      </c>
      <c r="B17" s="13" t="n">
        <v>12</v>
      </c>
      <c r="C17" s="13" t="n">
        <v>12</v>
      </c>
      <c r="D17" s="13" t="n">
        <v>12</v>
      </c>
      <c r="E17" s="9" t="inlineStr">
        <is>
          <t>per Million Tokens</t>
        </is>
      </c>
    </row>
    <row r="18" ht="20" customHeight="1">
      <c r="A18" s="7" t="inlineStr">
        <is>
          <t>Text Input</t>
        </is>
      </c>
      <c r="B18" s="13" t="n">
        <v>0.75</v>
      </c>
      <c r="C18" s="13" t="n">
        <v>0.75</v>
      </c>
      <c r="D18" s="14" t="n">
        <v>0.075</v>
      </c>
      <c r="E18" s="9" t="inlineStr">
        <is>
          <t>per Million Tokens</t>
        </is>
      </c>
    </row>
    <row r="19" ht="20" customHeight="1">
      <c r="A19" s="7" t="inlineStr">
        <is>
          <t>Text Output</t>
        </is>
      </c>
      <c r="B19" s="13" t="n">
        <v>4.5</v>
      </c>
      <c r="C19" s="13" t="n">
        <v>4.5</v>
      </c>
      <c r="D19" s="13" t="n">
        <v>0.3</v>
      </c>
      <c r="E19" s="9" t="inlineStr">
        <is>
          <t>per Million Tokens</t>
        </is>
      </c>
    </row>
    <row r="20" ht="20" customHeight="1">
      <c r="A20" s="7" t="inlineStr">
        <is>
          <t>Cached Read</t>
        </is>
      </c>
      <c r="B20" s="13" t="n">
        <v>0.15</v>
      </c>
      <c r="C20" s="13" t="n">
        <v>0.15</v>
      </c>
      <c r="D20" s="14" t="n">
        <v>0.015</v>
      </c>
      <c r="E20" s="9" t="inlineStr">
        <is>
          <t>per Million Tokens</t>
        </is>
      </c>
    </row>
    <row r="21" ht="20" customHeight="1">
      <c r="A21" s="7" t="inlineStr">
        <is>
          <t>Cache Storage</t>
        </is>
      </c>
      <c r="B21" s="13" t="n">
        <v>1</v>
      </c>
      <c r="C21" s="13" t="n">
        <v>1</v>
      </c>
      <c r="D21" s="13" t="n">
        <v>0.1</v>
      </c>
      <c r="E21" s="9" t="inlineStr">
        <is>
          <t>per Million Tokens</t>
        </is>
      </c>
    </row>
    <row r="22"/>
    <row r="23" ht="24" customHeight="1">
      <c r="A23" s="2" t="inlineStr">
        <is>
          <t>SECTION 3: EMPIRICAL BASES &amp; FORMULAS (PER SESSION)</t>
        </is>
      </c>
    </row>
    <row r="24" ht="22" customHeight="1">
      <c r="A24" s="4" t="inlineStr">
        <is>
          <t>Metric/Calculation</t>
        </is>
      </c>
      <c r="B24" s="12" t="inlineStr">
        <is>
          <t>Approach A: Native 3.5</t>
        </is>
      </c>
      <c r="C24" s="12" t="inlineStr">
        <is>
          <t>Approach B: 3.1 Flash Prompt-driven</t>
        </is>
      </c>
      <c r="D24" s="12" t="inlineStr">
        <is>
          <t>Approach C: 2.5 Flash Prompt-driven</t>
        </is>
      </c>
      <c r="E24" s="4" t="inlineStr">
        <is>
          <t>Formula Description</t>
        </is>
      </c>
    </row>
    <row r="25" ht="20" customHeight="1">
      <c r="A25" s="9" t="inlineStr">
        <is>
          <t>Prompt Cache Read Size (Tokens)</t>
        </is>
      </c>
      <c r="B25" s="15" t="n">
        <v>1000</v>
      </c>
      <c r="C25" s="15" t="n">
        <v>3000</v>
      </c>
      <c r="D25" s="15" t="n">
        <v>3000</v>
      </c>
      <c r="E25" s="9" t="inlineStr">
        <is>
          <t>Static instructions + glossary context</t>
        </is>
      </c>
    </row>
    <row r="26" ht="20" customHeight="1">
      <c r="A26" s="9" t="inlineStr">
        <is>
          <t>Prompt Cache Read Cost (USD)</t>
        </is>
      </c>
      <c r="B26" s="16">
        <f>B25*(B20/1000000)</f>
        <v/>
      </c>
      <c r="C26" s="16">
        <f>C25*(C20/1000000)</f>
        <v/>
      </c>
      <c r="D26" s="16">
        <f>D25*(D20/1000000)</f>
        <v/>
      </c>
      <c r="E26" s="9" t="inlineStr">
        <is>
          <t>Tokens * (Cache Read Rate / 1,000,000)</t>
        </is>
      </c>
    </row>
    <row r="27" ht="20" customHeight="1">
      <c r="A27" s="9" t="inlineStr">
        <is>
          <t>Audio Input Tokens per Session</t>
        </is>
      </c>
      <c r="B27" s="15">
        <f>2*$B$6*60*250*$B$10*(1+$B$11)</f>
        <v/>
      </c>
      <c r="C27" s="15">
        <f>2*$B$6*60*250*$B$10*(1+$B$11)</f>
        <v/>
      </c>
      <c r="D27" s="15">
        <f>2*$B$6*60*250*$B$10*(1+$B$11)</f>
        <v/>
      </c>
      <c r="E27" s="9" t="inlineStr">
        <is>
          <t>2 connections * Duration in seconds * 250 tokens/sec * Duty Cycle * (1 + Overlap Overhead)</t>
        </is>
      </c>
    </row>
    <row r="28" ht="20" customHeight="1">
      <c r="A28" s="9" t="inlineStr">
        <is>
          <t>Audio Input Cost (USD)</t>
        </is>
      </c>
      <c r="B28" s="13">
        <f>B27*(B16/1000000)</f>
        <v/>
      </c>
      <c r="C28" s="13">
        <f>C27*(C16/1000000)</f>
        <v/>
      </c>
      <c r="D28" s="13">
        <f>D27*(D16/1000000)</f>
        <v/>
      </c>
      <c r="E28" s="9" t="inlineStr">
        <is>
          <t>Tokens * (Audio Input Rate / 1,000,000)</t>
        </is>
      </c>
    </row>
    <row r="29" ht="20" customHeight="1">
      <c r="A29" s="9" t="inlineStr">
        <is>
          <t>Spoken Dialogue Word Count (Est.)</t>
        </is>
      </c>
      <c r="B29" s="15">
        <f>$B$6*$B$10*150</f>
        <v/>
      </c>
      <c r="C29" s="15">
        <f>$B$6*$B$10*150</f>
        <v/>
      </c>
      <c r="D29" s="15">
        <f>$B$6*$B$10*150</f>
        <v/>
      </c>
      <c r="E29" s="9" t="inlineStr">
        <is>
          <t>Duration * Active Duty Cycle * 150 words/min average speaking pace</t>
        </is>
      </c>
    </row>
    <row r="30" ht="20" customHeight="1">
      <c r="A30" s="9" t="inlineStr">
        <is>
          <t>Audio Output Pacing Duration (Sec)</t>
        </is>
      </c>
      <c r="B30" s="15">
        <f>(B29/2.5)*(1+$B$11)</f>
        <v/>
      </c>
      <c r="C30" s="15">
        <f>(C29/2.5)*1.125*(1+$B$11)</f>
        <v/>
      </c>
      <c r="D30" s="15">
        <f>(D29/2.5)*1.125*(1+$B$11)</f>
        <v/>
      </c>
      <c r="E30" s="9" t="inlineStr">
        <is>
          <t>Words / 2.5 words/sec * Pacing modifier * (1 + Overlap Overhead)</t>
        </is>
      </c>
    </row>
    <row r="31" ht="20" customHeight="1">
      <c r="A31" s="9" t="inlineStr">
        <is>
          <t>Audio Output Tokens per Session</t>
        </is>
      </c>
      <c r="B31" s="15">
        <f>B30*250</f>
        <v/>
      </c>
      <c r="C31" s="15">
        <f>C30*250</f>
        <v/>
      </c>
      <c r="D31" s="15">
        <f>D30*250</f>
        <v/>
      </c>
      <c r="E31" s="9" t="inlineStr">
        <is>
          <t>Spoken seconds * 250 tokens/sec</t>
        </is>
      </c>
    </row>
    <row r="32" ht="20" customHeight="1">
      <c r="A32" s="9" t="inlineStr">
        <is>
          <t>Audio Output Cost (USD)</t>
        </is>
      </c>
      <c r="B32" s="13">
        <f>B31*(B17/1000000)</f>
        <v/>
      </c>
      <c r="C32" s="13">
        <f>C31*(C17/1000000)</f>
        <v/>
      </c>
      <c r="D32" s="13">
        <f>D31*(D17/1000000)</f>
        <v/>
      </c>
      <c r="E32" s="9" t="inlineStr">
        <is>
          <t>Tokens * (Audio Output Rate / 1,000,000)</t>
        </is>
      </c>
    </row>
    <row r="33" ht="20" customHeight="1">
      <c r="A33" s="9" t="inlineStr">
        <is>
          <t>Transcription Text Output (Tokens)</t>
        </is>
      </c>
      <c r="B33" s="15">
        <f>(B29*2.2)*1.33</f>
        <v/>
      </c>
      <c r="C33" s="15">
        <f>(C29*2.2)*1.33</f>
        <v/>
      </c>
      <c r="D33" s="15">
        <f>(D29*2.2)*1.33</f>
        <v/>
      </c>
      <c r="E33" s="9" t="inlineStr">
        <is>
          <t>(Spoken + Translated words) * 1.33 tokens/word</t>
        </is>
      </c>
    </row>
    <row r="34" ht="20" customHeight="1">
      <c r="A34" s="9" t="inlineStr">
        <is>
          <t>Transcription Text Cost (USD)</t>
        </is>
      </c>
      <c r="B34" s="17">
        <f>B33*(B19/1000000)</f>
        <v/>
      </c>
      <c r="C34" s="17">
        <f>C33*(C19/1000000)</f>
        <v/>
      </c>
      <c r="D34" s="17">
        <f>D33*(D19/1000000)</f>
        <v/>
      </c>
      <c r="E34" s="9" t="inlineStr">
        <is>
          <t>Tokens * (Text Output Rate / 1,000,000)</t>
        </is>
      </c>
    </row>
    <row r="35" ht="20" customHeight="1">
      <c r="A35" s="9" t="inlineStr">
        <is>
          <t>Post-Call Summary Input (Tokens)</t>
        </is>
      </c>
      <c r="B35" s="15">
        <f>B33</f>
        <v/>
      </c>
      <c r="C35" s="15">
        <f>C33</f>
        <v/>
      </c>
      <c r="D35" s="15">
        <f>D33</f>
        <v/>
      </c>
      <c r="E35" s="9" t="inlineStr">
        <is>
          <t>Input size of the compiled transcript text (matched to Row 33)</t>
        </is>
      </c>
    </row>
    <row r="36" ht="20" customHeight="1">
      <c r="A36" s="9" t="inlineStr">
        <is>
          <t>Post-Call Summary Output (Tokens)</t>
        </is>
      </c>
      <c r="B36" s="15" t="n">
        <v>1200</v>
      </c>
      <c r="C36" s="15" t="n">
        <v>1200</v>
      </c>
      <c r="D36" s="15" t="n">
        <v>1200</v>
      </c>
      <c r="E36" s="9" t="inlineStr">
        <is>
          <t>Output size of the generated structured clinical SOAP note</t>
        </is>
      </c>
    </row>
    <row r="37" ht="20" customHeight="1">
      <c r="A37" s="9" t="inlineStr">
        <is>
          <t>Post-Call Summary Cost (USD)</t>
        </is>
      </c>
      <c r="B37" s="16">
        <f>(B35*(B18/1000000))+(B36*(B19/1000000))</f>
        <v/>
      </c>
      <c r="C37" s="16">
        <f>(C35*(C18/1000000))+(C36*(C19/1000000))</f>
        <v/>
      </c>
      <c r="D37" s="16">
        <f>(D35*(D18/1000000))+(D36*(D19/1000000))</f>
        <v/>
      </c>
      <c r="E37" s="9" t="inlineStr">
        <is>
          <t>Summary (Input*InputRate + Output*OutputRate) / 1,000,000</t>
        </is>
      </c>
    </row>
    <row r="38" ht="22" customHeight="1">
      <c r="A38" s="18" t="inlineStr">
        <is>
          <t>Total Session Cost (USD)</t>
        </is>
      </c>
      <c r="B38" s="19">
        <f>B26+B28+B32+B34+B37</f>
        <v/>
      </c>
      <c r="C38" s="19">
        <f>C26+C28+C32+C34+C37</f>
        <v/>
      </c>
      <c r="D38" s="19">
        <f>D26+D28+D32+D34+D37</f>
        <v/>
      </c>
      <c r="E38" s="18" t="inlineStr">
        <is>
          <t>Sum of all live streaming &amp; summary costs</t>
        </is>
      </c>
    </row>
    <row r="39" ht="22" customHeight="1">
      <c r="A39" s="18" t="inlineStr">
        <is>
          <t>Total Session Cost (AUD)</t>
        </is>
      </c>
      <c r="B39" s="19">
        <f>B38*$B$5</f>
        <v/>
      </c>
      <c r="C39" s="19">
        <f>C38*$B$5</f>
        <v/>
      </c>
      <c r="D39" s="19">
        <f>D38*$B$5</f>
        <v/>
      </c>
      <c r="E39" s="18" t="inlineStr">
        <is>
          <t>USD Cost * Exchange Rate</t>
        </is>
      </c>
    </row>
    <row r="40"/>
    <row r="41" ht="24" customHeight="1">
      <c r="A41" s="2" t="inlineStr">
        <is>
          <t>SECTION 4: VOLUME PROJECTION CALCULATOR</t>
        </is>
      </c>
    </row>
    <row r="42" ht="22" customHeight="1">
      <c r="A42" s="4" t="inlineStr">
        <is>
          <t>Volume / Projections</t>
        </is>
      </c>
      <c r="B42" s="12" t="inlineStr">
        <is>
          <t>Approach A: Native 3.5</t>
        </is>
      </c>
      <c r="C42" s="12" t="inlineStr">
        <is>
          <t>Approach B: 3.1 Flash Prompt-driven</t>
        </is>
      </c>
      <c r="D42" s="12" t="inlineStr">
        <is>
          <t>Approach C: 2.5 Flash Prompt-driven</t>
        </is>
      </c>
      <c r="E42" s="4" t="inlineStr">
        <is>
          <t>Notes</t>
        </is>
      </c>
    </row>
    <row r="43" ht="20" customHeight="1">
      <c r="A43" s="9" t="inlineStr">
        <is>
          <t>Weekly Cost (USD)</t>
        </is>
      </c>
      <c r="B43" s="13">
        <f>B38*$B$12</f>
        <v/>
      </c>
      <c r="C43" s="13">
        <f>C38*$B$12</f>
        <v/>
      </c>
      <c r="D43" s="13">
        <f>D38*$B$12</f>
        <v/>
      </c>
      <c r="E43" s="9" t="inlineStr">
        <is>
          <t>Sessions/Week * Session Cost (Row 38)</t>
        </is>
      </c>
    </row>
    <row r="44" ht="20" customHeight="1">
      <c r="A44" s="9" t="inlineStr">
        <is>
          <t>Weekly Cost (AUD)</t>
        </is>
      </c>
      <c r="B44" s="13">
        <f>B43*$B$5</f>
        <v/>
      </c>
      <c r="C44" s="13">
        <f>C43*$B$5</f>
        <v/>
      </c>
      <c r="D44" s="13">
        <f>D43*$B$5</f>
        <v/>
      </c>
      <c r="E44" s="9" t="inlineStr">
        <is>
          <t>Weekly USD * Exchange Rate</t>
        </is>
      </c>
    </row>
    <row r="45" ht="20" customHeight="1">
      <c r="A45" s="9" t="inlineStr">
        <is>
          <t>Monthly Cost (USD)</t>
        </is>
      </c>
      <c r="B45" s="13">
        <f>B43*4.33</f>
        <v/>
      </c>
      <c r="C45" s="13">
        <f>C43*4.33</f>
        <v/>
      </c>
      <c r="D45" s="13">
        <f>D43*4.33</f>
        <v/>
      </c>
      <c r="E45" s="9" t="inlineStr">
        <is>
          <t>Weekly Cost * 4.33 weeks/month</t>
        </is>
      </c>
    </row>
    <row r="46" ht="20" customHeight="1">
      <c r="A46" s="9" t="inlineStr">
        <is>
          <t>Monthly Cost (AUD)</t>
        </is>
      </c>
      <c r="B46" s="13">
        <f>B45*$B$5</f>
        <v/>
      </c>
      <c r="C46" s="13">
        <f>C45*$B$5</f>
        <v/>
      </c>
      <c r="D46" s="13">
        <f>D45*$B$5</f>
        <v/>
      </c>
      <c r="E46" s="9" t="inlineStr">
        <is>
          <t>Monthly USD * Exchange Rate</t>
        </is>
      </c>
    </row>
    <row r="47" ht="20" customHeight="1">
      <c r="A47" s="9" t="inlineStr">
        <is>
          <t>Annual Cost (USD)</t>
        </is>
      </c>
      <c r="B47" s="13">
        <f>B43*52</f>
        <v/>
      </c>
      <c r="C47" s="13">
        <f>C43*52</f>
        <v/>
      </c>
      <c r="D47" s="13">
        <f>D43*52</f>
        <v/>
      </c>
      <c r="E47" s="9" t="inlineStr">
        <is>
          <t>Weekly Cost * 52 weeks</t>
        </is>
      </c>
    </row>
    <row r="48" ht="22" customHeight="1">
      <c r="A48" s="18" t="inlineStr">
        <is>
          <t>Annual Cost (AUD)</t>
        </is>
      </c>
      <c r="B48" s="19">
        <f>B47*$B$5</f>
        <v/>
      </c>
      <c r="C48" s="19">
        <f>C47*$B$5</f>
        <v/>
      </c>
      <c r="D48" s="19">
        <f>D47*$B$5</f>
        <v/>
      </c>
      <c r="E48" s="18" t="inlineStr">
        <is>
          <t>Annual USD * Exchange Rate</t>
        </is>
      </c>
    </row>
  </sheetData>
  <mergeCells count="4">
    <mergeCell ref="A14:E14"/>
    <mergeCell ref="A23:E23"/>
    <mergeCell ref="A41:E4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75" customWidth="1" min="3" max="3"/>
    <col width="12" customWidth="1" min="4" max="4"/>
    <col width="12" customWidth="1" min="5" max="5"/>
  </cols>
  <sheetData>
    <row r="1" ht="35" customHeight="1">
      <c r="A1" s="1" t="inlineStr">
        <is>
          <t>HealthDirect Clinical Glossary Generator &amp; Management</t>
        </is>
      </c>
    </row>
    <row r="2"/>
    <row r="3" ht="24" customHeight="1">
      <c r="A3" s="2" t="inlineStr">
        <is>
          <t>SECTION 1: GLOSSARY GENERATION PARAMETERS</t>
        </is>
      </c>
    </row>
    <row r="4" ht="22" customHeight="1">
      <c r="A4" s="4" t="inlineStr">
        <is>
          <t>Parameter</t>
        </is>
      </c>
      <c r="B4" s="4" t="inlineStr">
        <is>
          <t>Value</t>
        </is>
      </c>
      <c r="C4" s="4" t="inlineStr">
        <is>
          <t>Description</t>
        </is>
      </c>
      <c r="D4" s="4" t="inlineStr"/>
      <c r="E4" s="4" t="inlineStr"/>
    </row>
    <row r="5" ht="20" customHeight="1">
      <c r="A5" s="7" t="inlineStr">
        <is>
          <t>Number_of_Active_Languages</t>
        </is>
      </c>
      <c r="B5" s="10" t="n">
        <v>5</v>
      </c>
      <c r="C5" s="9" t="inlineStr">
        <is>
          <t>Number of localized language dialects (Spanish, Arabic, Vietnamese, Hindi, Cantonese)</t>
        </is>
      </c>
    </row>
    <row r="6" ht="20" customHeight="1">
      <c r="A6" s="7" t="inlineStr">
        <is>
          <t>Glossary_Master_Term_Count</t>
        </is>
      </c>
      <c r="B6" s="10" t="n">
        <v>500</v>
      </c>
      <c r="C6" s="9" t="inlineStr">
        <is>
          <t>Number of standardized medical terms and phrases to translate for the session prompt context</t>
        </is>
      </c>
    </row>
    <row r="7" ht="20" customHeight="1">
      <c r="A7" s="7" t="inlineStr">
        <is>
          <t>Input_Tokens_Per_Term</t>
        </is>
      </c>
      <c r="B7" s="10" t="n">
        <v>25</v>
      </c>
      <c r="C7" s="9" t="inlineStr">
        <is>
          <t>Average input tokens per term (source word + translation instructions + context guidelines)</t>
        </is>
      </c>
    </row>
    <row r="8" ht="20" customHeight="1">
      <c r="A8" s="7" t="inlineStr">
        <is>
          <t>Output_Tokens_Per_Term</t>
        </is>
      </c>
      <c r="B8" s="10" t="n">
        <v>50</v>
      </c>
      <c r="C8" s="9" t="inlineStr">
        <is>
          <t>Average output tokens per term (translated word + pronunciation phonetics + contextual note)</t>
        </is>
      </c>
    </row>
    <row r="9" ht="20" customHeight="1">
      <c r="A9" s="7" t="inlineStr">
        <is>
          <t>Model_Input_Rate_Per_Million</t>
        </is>
      </c>
      <c r="B9" s="20" t="n">
        <v>1.25</v>
      </c>
      <c r="C9" s="9" t="inlineStr">
        <is>
          <t>Unit cost rate of Gemini 1.5 Pro to generate high-quality clinical translations (USD / Million)</t>
        </is>
      </c>
    </row>
    <row r="10" ht="20" customHeight="1">
      <c r="A10" s="7" t="inlineStr">
        <is>
          <t>Model_Output_Rate_Per_Million</t>
        </is>
      </c>
      <c r="B10" s="20" t="n">
        <v>5</v>
      </c>
      <c r="C10" s="9" t="inlineStr">
        <is>
          <t>Unit cost rate of Gemini 1.5 Pro to generate high-quality clinical translations (USD / Million)</t>
        </is>
      </c>
    </row>
    <row r="11"/>
    <row r="12" ht="24" customHeight="1">
      <c r="A12" s="2" t="inlineStr">
        <is>
          <t>SECTION 2: ONE-TIME GLOSSARY CREATION COST (GEMINI 1.5 PRO)</t>
        </is>
      </c>
    </row>
    <row r="13" ht="22" customHeight="1">
      <c r="A13" s="4" t="inlineStr">
        <is>
          <t>Calculation Metric</t>
        </is>
      </c>
      <c r="B13" s="12" t="inlineStr">
        <is>
          <t>Value</t>
        </is>
      </c>
      <c r="C13" s="4" t="inlineStr">
        <is>
          <t>Formula Description</t>
        </is>
      </c>
      <c r="D13" s="12" t="inlineStr"/>
      <c r="E13" s="12" t="inlineStr"/>
    </row>
    <row r="14" ht="20" customHeight="1">
      <c r="A14" s="9" t="inlineStr">
        <is>
          <t>Total Generation Input Tokens</t>
        </is>
      </c>
      <c r="B14" s="15">
        <f>B6*B7*B5</f>
        <v/>
      </c>
      <c r="C14" s="9" t="inlineStr">
        <is>
          <t>Master Term Count (B6) * Input Tokens (B7) * Languages (B5)</t>
        </is>
      </c>
    </row>
    <row r="15" ht="20" customHeight="1">
      <c r="A15" s="9" t="inlineStr">
        <is>
          <t>Total Generation Output Tokens</t>
        </is>
      </c>
      <c r="B15" s="15">
        <f>B6*B8*B5</f>
        <v/>
      </c>
      <c r="C15" s="9" t="inlineStr">
        <is>
          <t>Master Term Count (B6) * Output Tokens (B8) * Languages (B5)</t>
        </is>
      </c>
    </row>
    <row r="16" ht="20" customHeight="1">
      <c r="A16" s="9" t="inlineStr">
        <is>
          <t>Input Translation Cost (USD)</t>
        </is>
      </c>
      <c r="B16" s="13">
        <f>B14*(B9/1000000)</f>
        <v/>
      </c>
      <c r="C16" s="9" t="inlineStr">
        <is>
          <t>Total Input Tokens * (Model Input Rate / 1,000,000)</t>
        </is>
      </c>
    </row>
    <row r="17" ht="20" customHeight="1">
      <c r="A17" s="9" t="inlineStr">
        <is>
          <t>Output Translation Cost (USD)</t>
        </is>
      </c>
      <c r="B17" s="13">
        <f>B15*(B10/1000000)</f>
        <v/>
      </c>
      <c r="C17" s="9" t="inlineStr">
        <is>
          <t>Total Output Tokens * (Model Output Rate / 1,000,000)</t>
        </is>
      </c>
    </row>
    <row r="18" ht="22" customHeight="1">
      <c r="A18" s="18" t="inlineStr">
        <is>
          <t>Total One-Time Cost (USD)</t>
        </is>
      </c>
      <c r="B18" s="19">
        <f>B16+B17</f>
        <v/>
      </c>
      <c r="C18" s="18" t="inlineStr">
        <is>
          <t>Sum of input and output translation costs</t>
        </is>
      </c>
    </row>
    <row r="19" ht="22" customHeight="1">
      <c r="A19" s="18" t="inlineStr">
        <is>
          <t>Total One-Time Cost (AUD)</t>
        </is>
      </c>
      <c r="B19" s="19">
        <f>B18*'Cost Calculator'!$B$5</f>
        <v/>
      </c>
      <c r="C19" s="18" t="inlineStr">
        <is>
          <t>Total USD Cost * Indicative Exchange Rate (Cost Calculator B5)</t>
        </is>
      </c>
    </row>
    <row r="20"/>
    <row r="21" ht="24" customHeight="1">
      <c r="A21" s="2" t="inlineStr">
        <is>
          <t>SECTION 3: ANNUAL CLINICAL MAINTENANCE (50 TERMS ADDED/UPDATED)</t>
        </is>
      </c>
    </row>
    <row r="22" ht="22" customHeight="1">
      <c r="A22" s="4" t="inlineStr">
        <is>
          <t>Maintenance Metric</t>
        </is>
      </c>
      <c r="B22" s="12" t="inlineStr">
        <is>
          <t>Value</t>
        </is>
      </c>
      <c r="C22" s="4" t="inlineStr">
        <is>
          <t>Formula Description</t>
        </is>
      </c>
      <c r="D22" s="12" t="inlineStr"/>
      <c r="E22" s="12" t="inlineStr"/>
    </row>
    <row r="23" ht="20" customHeight="1">
      <c r="A23" s="9" t="inlineStr">
        <is>
          <t>Annual_New_Term_Maintenance</t>
        </is>
      </c>
      <c r="B23" s="15" t="n">
        <v>50</v>
      </c>
      <c r="C23" s="9" t="inlineStr">
        <is>
          <t>Average number of new clinical concepts/acronyms/guidelines added annually</t>
        </is>
      </c>
    </row>
    <row r="24" ht="20" customHeight="1">
      <c r="A24" s="9" t="inlineStr">
        <is>
          <t>Maintenance Input Tokens (Annual)</t>
        </is>
      </c>
      <c r="B24" s="15">
        <f>B23*B7*B5</f>
        <v/>
      </c>
      <c r="C24" s="9" t="inlineStr">
        <is>
          <t>New Terms (B23) * Input Tokens (B7) * Languages (B5)</t>
        </is>
      </c>
    </row>
    <row r="25" ht="20" customHeight="1">
      <c r="A25" s="9" t="inlineStr">
        <is>
          <t>Maintenance Output Tokens (Annual)</t>
        </is>
      </c>
      <c r="B25" s="15">
        <f>B23*B8*B5</f>
        <v/>
      </c>
      <c r="C25" s="9" t="inlineStr">
        <is>
          <t>New Terms (B23) * Output Tokens (B8) * Languages (B5)</t>
        </is>
      </c>
    </row>
    <row r="26" ht="22" customHeight="1">
      <c r="A26" s="18" t="inlineStr">
        <is>
          <t>Annual Maintenance Cost (USD)</t>
        </is>
      </c>
      <c r="B26" s="19">
        <f>(B24*(B9/1000000))+(B25*(B10/1000000))</f>
        <v/>
      </c>
      <c r="C26" s="18" t="inlineStr">
        <is>
          <t>Annual (InputTokens*InputRate + OutputTokens*OutputRate) / 1,000,000</t>
        </is>
      </c>
    </row>
    <row r="27" ht="22" customHeight="1">
      <c r="A27" s="18" t="inlineStr">
        <is>
          <t>Annual Maintenance Cost (AUD)</t>
        </is>
      </c>
      <c r="B27" s="19">
        <f>B26*'Cost Calculator'!$B$5</f>
        <v/>
      </c>
      <c r="C27" s="18" t="inlineStr">
        <is>
          <t>Annual USD Cost * Indicative Exchange Rate (Cost Calculator B5)</t>
        </is>
      </c>
    </row>
    <row r="28"/>
    <row r="29" ht="24" customHeight="1">
      <c r="A29" s="2" t="inlineStr">
        <is>
          <t>SECTION 4: REAL-TIME CONTEXT CACHING INTEGRATION (PROMPT CACHING)</t>
        </is>
      </c>
    </row>
    <row r="30" ht="22" customHeight="1">
      <c r="A30" s="4" t="inlineStr">
        <is>
          <t>Caching Parameter</t>
        </is>
      </c>
      <c r="B30" s="12" t="inlineStr">
        <is>
          <t>Value</t>
        </is>
      </c>
      <c r="C30" s="4" t="inlineStr">
        <is>
          <t>Formula Description</t>
        </is>
      </c>
      <c r="D30" s="12" t="inlineStr"/>
      <c r="E30" s="12" t="inlineStr"/>
    </row>
    <row r="31" ht="20" customHeight="1">
      <c r="A31" s="9" t="inlineStr">
        <is>
          <t>Glossary Size in Session Cache (Tokens)</t>
        </is>
      </c>
      <c r="B31" s="15">
        <f>B6*B8</f>
        <v/>
      </c>
      <c r="C31" s="9" t="inlineStr">
        <is>
          <t>Glossary size per language: Master Term Count (B6) * Output Tokens (B8)</t>
        </is>
      </c>
    </row>
    <row r="32" ht="20" customHeight="1">
      <c r="A32" s="9" t="inlineStr">
        <is>
          <t>Cache TTL / Inactivity Expiry (Hours)</t>
        </is>
      </c>
      <c r="B32" s="21" t="n">
        <v>1</v>
      </c>
      <c r="C32" s="9" t="inlineStr">
        <is>
          <t>Prompt Cache storage TTL: cached context is retained for 1 hour from last read</t>
        </is>
      </c>
    </row>
    <row r="33" ht="22" customHeight="1">
      <c r="A33" s="18" t="inlineStr">
        <is>
          <t>Prompt Cache Storage Cost per Hour (USD)</t>
        </is>
      </c>
      <c r="B33" s="22">
        <f>B31*('Cost Calculator'!B21/1000000)</f>
        <v/>
      </c>
      <c r="C33" s="18" t="inlineStr">
        <is>
          <t>Total Cached Tokens * (Cost Calculator Cache Storage Rate B21 / 1,000,000)</t>
        </is>
      </c>
    </row>
    <row r="34" ht="22" customHeight="1">
      <c r="A34" s="18" t="inlineStr">
        <is>
          <t>Prompt Cache Storage Cost per Hour (AUD)</t>
        </is>
      </c>
      <c r="B34" s="22">
        <f>B33*'Cost Calculator'!$B$5</f>
        <v/>
      </c>
      <c r="C34" s="18" t="inlineStr">
        <is>
          <t>Cache Storage USD * Indicative Exchange Rate (Cost Calculator B5)</t>
        </is>
      </c>
    </row>
    <row r="35" ht="20" customHeight="1">
      <c r="A35" s="9" t="inlineStr">
        <is>
          <t>Active Call Prompt Cache Read Savings (AUD)</t>
        </is>
      </c>
      <c r="B35" s="13">
        <f>(3000-B31)*('Cost Calculator'!B20/1000000)*'Cost Calculator'!$B$5</f>
        <v/>
      </c>
      <c r="C35" s="9" t="inlineStr">
        <is>
          <t>Saves up to $2.20 AUD per hour by avoiding uncached text reads across sessions</t>
        </is>
      </c>
    </row>
  </sheetData>
  <mergeCells count="4">
    <mergeCell ref="A21:E21"/>
    <mergeCell ref="A29:E29"/>
    <mergeCell ref="A12:E1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2026-08-03T02:16:13Z</dcterms:created>
  <dcterms:modified xsi:type="dcterms:W3CDTF">2026-08-03T02:16:13Z</dcterms:modified>
</cp:coreProperties>
</file>