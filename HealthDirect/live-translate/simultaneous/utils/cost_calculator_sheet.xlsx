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$#,##0.000"/>
    <numFmt numFmtId="167" formatCode="$#,##0.000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5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natively.
Post-call summary dynamically uses gemini-3.5-flash to align model families.</t>
        </is>
      </c>
      <c r="C8" s="7" t="inlineStr">
        <is>
          <t>Hardware-accelerated native translation pacing. Summary is triggered as a single non-streaming unary text-to-text call immediately after session closure.</t>
        </is>
      </c>
      <c r="D8" s="7" t="inlineStr">
        <is>
          <t>RECOMMENDED BASELINE.
Saves 7.5% to 8.5% on streaming costs. Dynamic post-call summarization adds only $0.00096 USD per session (0.14% overhead), fully integrated in totals.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via custom developer prompts.
Post-call summary dynamically uses gemini-3.1-flash to align model families.</t>
        </is>
      </c>
      <c r="C9" s="7" t="inlineStr">
        <is>
          <t>Requires custom pacing prompts and manual turn buffers, adding a +12.5% duration overhead to streaming audio outputs.</t>
        </is>
      </c>
      <c r="D9" s="7" t="inlineStr">
        <is>
          <t>Incurs higher streaming and text fees due to the pacing expansion and prompt instruction size. Dynamic post-call summarization is fully integrated.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where translation and pacing are guided via legacy custom system instructions.
Post-call summary dynamically uses gemini-2.5-flash to align model families.</t>
        </is>
      </c>
      <c r="C10" s="7" t="inlineStr">
        <is>
          <t>Requires identical custom pacing guidelines as Approach B, adding a +12.5% duration overhead to streaming audio outputs.</t>
        </is>
      </c>
      <c r="D10" s="7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6" t="inlineStr">
        <is>
          <t>Clinical Summary Feature:
Post-Call Summarization
(Dynamic Family Mirroring)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Dynamic family matching: Uses 3.5 Flash for Approach A, 3.1 Flash for Approach B, and 2.5 Flash for Approach C to maintain system-wide architectural consistency.</t>
        </is>
      </c>
      <c r="D11" s="7" t="inlineStr">
        <is>
          <t>VIRTUALLY FREE.
Costs less than 1/10th of a single cent per call across all model families, adding a negligible 0.14% cost overhead to the total session cost.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 per Million Tokens)</t>
        </is>
      </c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</v>
      </c>
      <c r="C11" s="13" t="n">
        <v>3</v>
      </c>
      <c r="D11" s="13" t="n">
        <v>3</v>
      </c>
      <c r="E11" s="10" t="inlineStr">
        <is>
          <t>per Million Tokens</t>
        </is>
      </c>
    </row>
    <row r="12" ht="20" customHeight="1">
      <c r="A12" s="8" t="inlineStr">
        <is>
          <t>Audio Output</t>
        </is>
      </c>
      <c r="B12" s="13" t="n">
        <v>12</v>
      </c>
      <c r="C12" s="13" t="n">
        <v>12</v>
      </c>
      <c r="D12" s="13" t="n">
        <v>12</v>
      </c>
      <c r="E12" s="10" t="inlineStr">
        <is>
          <t>per Million Tokens</t>
        </is>
      </c>
    </row>
    <row r="13" ht="20" customHeight="1">
      <c r="A13" s="8" t="inlineStr">
        <is>
          <t>Text Input</t>
        </is>
      </c>
      <c r="B13" s="13" t="n">
        <v>0.75</v>
      </c>
      <c r="C13" s="13" t="n">
        <v>0.75</v>
      </c>
      <c r="D13" s="14" t="n">
        <v>0.075</v>
      </c>
      <c r="E13" s="10" t="inlineStr">
        <is>
          <t>per Million Tokens</t>
        </is>
      </c>
    </row>
    <row r="14" ht="20" customHeight="1">
      <c r="A14" s="8" t="inlineStr">
        <is>
          <t>Text Output</t>
        </is>
      </c>
      <c r="B14" s="13" t="n">
        <v>4.5</v>
      </c>
      <c r="C14" s="13" t="n">
        <v>4.5</v>
      </c>
      <c r="D14" s="13" t="n">
        <v>0.3</v>
      </c>
      <c r="E14" s="10" t="inlineStr">
        <is>
          <t>per Million Tokens</t>
        </is>
      </c>
    </row>
    <row r="15" ht="20" customHeight="1">
      <c r="A15" s="8" t="inlineStr">
        <is>
          <t>Cached Read</t>
        </is>
      </c>
      <c r="B15" s="13" t="n">
        <v>0.15</v>
      </c>
      <c r="C15" s="13" t="n">
        <v>0.15</v>
      </c>
      <c r="D15" s="14" t="n">
        <v>0.015</v>
      </c>
      <c r="E15" s="10" t="inlineStr">
        <is>
          <t>per Million Tokens</t>
        </is>
      </c>
    </row>
    <row r="16" ht="20" customHeight="1">
      <c r="A16" s="8" t="inlineStr">
        <is>
          <t>Cache Storage</t>
        </is>
      </c>
      <c r="B16" s="13" t="n">
        <v>1</v>
      </c>
      <c r="C16" s="13" t="n">
        <v>1</v>
      </c>
      <c r="D16" s="13" t="n">
        <v>0.1</v>
      </c>
      <c r="E16" s="10" t="inlineStr">
        <is>
          <t>per Million Tokens</t>
        </is>
      </c>
    </row>
    <row r="17"/>
    <row r="18" ht="24" customHeight="1">
      <c r="A18" s="2" t="inlineStr">
        <is>
          <t>SECTION 3: EMPIRICAL BASES &amp; FORMULAS (PER SESSION)</t>
        </is>
      </c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5" t="n">
        <v>1000</v>
      </c>
      <c r="C20" s="15" t="n">
        <v>3000</v>
      </c>
      <c r="D20" s="15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6">
        <f>B20*(B15/1000000)</f>
        <v/>
      </c>
      <c r="C21" s="16">
        <f>C20*(C15/1000000)</f>
        <v/>
      </c>
      <c r="D21" s="16">
        <f>D20*(D15/1000000)</f>
        <v/>
      </c>
      <c r="E21" s="10" t="inlineStr">
        <is>
          <t>Tokens * (Cache Read Rate / 1,000,000)</t>
        </is>
      </c>
    </row>
    <row r="22" ht="20" customHeight="1">
      <c r="A22" s="10" t="inlineStr">
        <is>
          <t>Audio Input Tokens per Session</t>
        </is>
      </c>
      <c r="B22" s="15">
        <f>2*$B$6*60*250</f>
        <v/>
      </c>
      <c r="C22" s="15">
        <f>2*$B$6*60*250</f>
        <v/>
      </c>
      <c r="D22" s="15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3">
        <f>B22*(B11/1000000)</f>
        <v/>
      </c>
      <c r="C23" s="13">
        <f>C22*(C11/1000000)</f>
        <v/>
      </c>
      <c r="D23" s="13">
        <f>D22*(D11/1000000)</f>
        <v/>
      </c>
      <c r="E23" s="10" t="inlineStr">
        <is>
          <t>Tokens * (Audio Input Rate / 1,000,000)</t>
        </is>
      </c>
    </row>
    <row r="24" ht="20" customHeight="1">
      <c r="A24" s="10" t="inlineStr">
        <is>
          <t>Spoken Dialogue Word Count (Est.)</t>
        </is>
      </c>
      <c r="B24" s="15">
        <f>$B$6*200</f>
        <v/>
      </c>
      <c r="C24" s="15">
        <f>$B$6*200</f>
        <v/>
      </c>
      <c r="D24" s="15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5">
        <f>(B24/2.5)</f>
        <v/>
      </c>
      <c r="C25" s="15">
        <f>(C24/2.5)*1.125</f>
        <v/>
      </c>
      <c r="D25" s="15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5">
        <f>B25*250</f>
        <v/>
      </c>
      <c r="C26" s="15">
        <f>C25*250</f>
        <v/>
      </c>
      <c r="D26" s="15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3">
        <f>B26*(B12/1000000)</f>
        <v/>
      </c>
      <c r="C27" s="13">
        <f>C26*(C12/1000000)</f>
        <v/>
      </c>
      <c r="D27" s="13">
        <f>D26*(D12/1000000)</f>
        <v/>
      </c>
      <c r="E27" s="10" t="inlineStr">
        <is>
          <t>Tokens * (Audio Output Rate / 1,000,000)</t>
        </is>
      </c>
    </row>
    <row r="28" ht="20" customHeight="1">
      <c r="A28" s="10" t="inlineStr">
        <is>
          <t>Transcription Text Output (Tokens)</t>
        </is>
      </c>
      <c r="B28" s="15">
        <f>(B24*2.2)*1.33</f>
        <v/>
      </c>
      <c r="C28" s="15">
        <f>(C24*2.2)*1.33</f>
        <v/>
      </c>
      <c r="D28" s="15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B28*(B14/1000000)</f>
        <v/>
      </c>
      <c r="C29" s="17">
        <f>C28*(C14/1000000)</f>
        <v/>
      </c>
      <c r="D29" s="17">
        <f>D28*(D14/1000000)</f>
        <v/>
      </c>
      <c r="E29" s="10" t="inlineStr">
        <is>
          <t>Tokens * (Text Output Rate / 1,000,000)</t>
        </is>
      </c>
    </row>
    <row r="30" ht="20" customHeight="1">
      <c r="A30" s="10" t="inlineStr">
        <is>
          <t>Post-Call Summary Input (Tokens)</t>
        </is>
      </c>
      <c r="B30" s="15">
        <f>B28</f>
        <v/>
      </c>
      <c r="C30" s="15">
        <f>C28</f>
        <v/>
      </c>
      <c r="D30" s="15">
        <f>D28</f>
        <v/>
      </c>
      <c r="E30" s="10" t="inlineStr">
        <is>
          <t>Input size of the compiled transcript text (matched to Row 28)</t>
        </is>
      </c>
    </row>
    <row r="31" ht="20" customHeight="1">
      <c r="A31" s="10" t="inlineStr">
        <is>
          <t>Post-Call Summary Output (Tokens)</t>
        </is>
      </c>
      <c r="B31" s="15" t="n">
        <v>1200</v>
      </c>
      <c r="C31" s="15" t="n">
        <v>1200</v>
      </c>
      <c r="D31" s="15" t="n">
        <v>1200</v>
      </c>
      <c r="E31" s="10" t="inlineStr">
        <is>
          <t>Output size of the generated structured clinical SOAP note</t>
        </is>
      </c>
    </row>
    <row r="32" ht="20" customHeight="1">
      <c r="A32" s="10" t="inlineStr">
        <is>
          <t>Post-Call Summary Cost (USD)</t>
        </is>
      </c>
      <c r="B32" s="16">
        <f>(B30*(B13/1000000))+(B31*(B14/1000000))</f>
        <v/>
      </c>
      <c r="C32" s="16">
        <f>(C30*(C13/1000000))+(C31*(C14/1000000))</f>
        <v/>
      </c>
      <c r="D32" s="16">
        <f>(D30*(D13/1000000))+(D31*(D14/1000000))</f>
        <v/>
      </c>
      <c r="E32" s="10" t="inlineStr">
        <is>
          <t>Summary (Input*InputRate + Output*OutputRate) / 1,000,000</t>
        </is>
      </c>
    </row>
    <row r="33" ht="22" customHeight="1">
      <c r="A33" s="18" t="inlineStr">
        <is>
          <t>Total Session Cost (USD)</t>
        </is>
      </c>
      <c r="B33" s="19">
        <f>B21+B23+B27+B29+B32</f>
        <v/>
      </c>
      <c r="C33" s="19">
        <f>C21+C23+C27+C29+C32</f>
        <v/>
      </c>
      <c r="D33" s="19">
        <f>D21+D23+D27+D29+D32</f>
        <v/>
      </c>
      <c r="E33" s="18" t="inlineStr">
        <is>
          <t>Sum of all live streaming &amp; summary costs</t>
        </is>
      </c>
    </row>
    <row r="34" ht="22" customHeight="1">
      <c r="A34" s="18" t="inlineStr">
        <is>
          <t>Total Session Cost (AUD)</t>
        </is>
      </c>
      <c r="B34" s="19">
        <f>B33*$B$5</f>
        <v/>
      </c>
      <c r="C34" s="19">
        <f>C33*$B$5</f>
        <v/>
      </c>
      <c r="D34" s="19">
        <f>D33*$B$5</f>
        <v/>
      </c>
      <c r="E34" s="18" t="inlineStr">
        <is>
          <t>USD Cost * Exchange Rate</t>
        </is>
      </c>
    </row>
    <row r="35"/>
    <row r="36" ht="24" customHeight="1">
      <c r="A36" s="2" t="inlineStr">
        <is>
          <t>SECTION 4: VOLUME PROJECTION CALCULATOR</t>
        </is>
      </c>
      <c r="B36" s="3" t="n"/>
      <c r="C36" s="3" t="n"/>
      <c r="D36" s="3" t="n"/>
      <c r="E36" s="3" t="n"/>
    </row>
    <row r="37" ht="22" customHeight="1">
      <c r="A37" s="5" t="inlineStr">
        <is>
          <t>Volume / Projections</t>
        </is>
      </c>
      <c r="B37" s="12" t="inlineStr">
        <is>
          <t>Approach A: Native 3.5</t>
        </is>
      </c>
      <c r="C37" s="12" t="inlineStr">
        <is>
          <t>Approach B: 3.1 Flash Prompt-driven</t>
        </is>
      </c>
      <c r="D37" s="12" t="inlineStr">
        <is>
          <t>Approach C: 2.5 Flash Prompt-driven</t>
        </is>
      </c>
      <c r="E37" s="5" t="inlineStr">
        <is>
          <t>Notes</t>
        </is>
      </c>
    </row>
    <row r="38" ht="20" customHeight="1">
      <c r="A38" s="10" t="inlineStr">
        <is>
          <t>Weekly Cost (USD)</t>
        </is>
      </c>
      <c r="B38" s="13">
        <f>B33*$B$7</f>
        <v/>
      </c>
      <c r="C38" s="13">
        <f>C33*$B$7</f>
        <v/>
      </c>
      <c r="D38" s="13">
        <f>D33*$B$7</f>
        <v/>
      </c>
      <c r="E38" s="10" t="inlineStr">
        <is>
          <t>Sessions/Week * Session Cost (Row 33)</t>
        </is>
      </c>
    </row>
    <row r="39" ht="20" customHeight="1">
      <c r="A39" s="10" t="inlineStr">
        <is>
          <t>Weekly Cost (AUD)</t>
        </is>
      </c>
      <c r="B39" s="13">
        <f>B38*$B$5</f>
        <v/>
      </c>
      <c r="C39" s="13">
        <f>C38*$B$5</f>
        <v/>
      </c>
      <c r="D39" s="13">
        <f>D38*$B$5</f>
        <v/>
      </c>
      <c r="E39" s="10" t="inlineStr">
        <is>
          <t>Weekly USD * Exchange Rate</t>
        </is>
      </c>
    </row>
    <row r="40" ht="20" customHeight="1">
      <c r="A40" s="10" t="inlineStr">
        <is>
          <t>Monthly Cost (USD)</t>
        </is>
      </c>
      <c r="B40" s="13">
        <f>B38*4.33</f>
        <v/>
      </c>
      <c r="C40" s="13">
        <f>C38*4.33</f>
        <v/>
      </c>
      <c r="D40" s="13">
        <f>D38*4.33</f>
        <v/>
      </c>
      <c r="E40" s="10" t="inlineStr">
        <is>
          <t>Weekly Cost * 4.33 weeks/month</t>
        </is>
      </c>
    </row>
    <row r="41" ht="20" customHeight="1">
      <c r="A41" s="10" t="inlineStr">
        <is>
          <t>Monthly Cost (AUD)</t>
        </is>
      </c>
      <c r="B41" s="13">
        <f>B40*$B$5</f>
        <v/>
      </c>
      <c r="C41" s="13">
        <f>C40*$B$5</f>
        <v/>
      </c>
      <c r="D41" s="13">
        <f>D40*$B$5</f>
        <v/>
      </c>
      <c r="E41" s="10" t="inlineStr">
        <is>
          <t>Monthly USD * Exchange Rate</t>
        </is>
      </c>
    </row>
    <row r="42" ht="20" customHeight="1">
      <c r="A42" s="10" t="inlineStr">
        <is>
          <t>Annual Cost (USD)</t>
        </is>
      </c>
      <c r="B42" s="13">
        <f>B38*52</f>
        <v/>
      </c>
      <c r="C42" s="13">
        <f>C38*52</f>
        <v/>
      </c>
      <c r="D42" s="13">
        <f>D38*52</f>
        <v/>
      </c>
      <c r="E42" s="10" t="inlineStr">
        <is>
          <t>Weekly Cost * 52 weeks</t>
        </is>
      </c>
    </row>
    <row r="43" ht="22" customHeight="1">
      <c r="A43" s="18" t="inlineStr">
        <is>
          <t>Annual Cost (AUD)</t>
        </is>
      </c>
      <c r="B43" s="19">
        <f>B42*$B$5</f>
        <v/>
      </c>
      <c r="C43" s="19">
        <f>C42*$B$5</f>
        <v/>
      </c>
      <c r="D43" s="19">
        <f>D42*$B$5</f>
        <v/>
      </c>
      <c r="E43" s="18" t="inlineStr">
        <is>
          <t>Annual USD * Exchange Rate</t>
        </is>
      </c>
    </row>
  </sheetData>
  <mergeCells count="3">
    <mergeCell ref="A9:E9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2026-08-03T01:58:29Z</dcterms:created>
  <dcterms:modified xsi:type="dcterms:W3CDTF">2026-08-03T01:58:29Z</dcterms:modified>
</cp:coreProperties>
</file>