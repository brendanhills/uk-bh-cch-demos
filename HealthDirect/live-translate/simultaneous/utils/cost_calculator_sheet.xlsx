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0.00000000"/>
    <numFmt numFmtId="166" formatCode="$#,##0.00000"/>
    <numFmt numFmtId="167" formatCode="$#,##0.00"/>
    <numFmt numFmtId="168" formatCode="$#,##0.000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7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  <c r="B3" s="3" t="n"/>
      <c r="C3" s="3" t="n"/>
      <c r="D3" s="3" t="n"/>
    </row>
    <row r="4" ht="50" customHeight="1">
      <c r="A4" s="4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  <c r="B6" s="3" t="n"/>
      <c r="C6" s="3" t="n"/>
      <c r="D6" s="3" t="n"/>
    </row>
    <row r="7" ht="22" customHeight="1">
      <c r="A7" s="5" t="inlineStr">
        <is>
          <t>Model / Approach</t>
        </is>
      </c>
      <c r="B7" s="5" t="inlineStr">
        <is>
          <t>Primary Role in System</t>
        </is>
      </c>
      <c r="C7" s="5" t="inlineStr">
        <is>
          <t>Pacing &amp; Audio Streaming Profile</t>
        </is>
      </c>
      <c r="D7" s="5" t="inlineStr">
        <is>
          <t>Financial &amp; Operational Implications</t>
        </is>
      </c>
    </row>
    <row r="8" ht="85" customHeight="1">
      <c r="A8" s="6" t="inlineStr">
        <is>
          <t>Approach A:
Native Translation Baseline
(gemini-3.5-live-translate-preview)</t>
        </is>
      </c>
      <c r="B8" s="7" t="inlineStr">
        <is>
          <t>Handles real-time Patient-to-Nurse and Nurse-to-Patient simultaneous translation natively using Google's dedicated live-translate preview API config.</t>
        </is>
      </c>
      <c r="C8" s="7" t="inlineStr">
        <is>
          <t>Hardware-accelerated native translation pacing. No custom prompt guidelines needed. Continuous bidirectional streaming.</t>
        </is>
      </c>
      <c r="D8" s="7" t="inlineStr">
        <is>
          <t>RECOMMENDED BASELINE.
Saves 7.5% to 8.5% on total session costs compared to Approach B/C by avoiding any prompt-driven audio duration expansion (saves ~$120,000 to ~$240,000 AUD annually across HealthDirect's scale).</t>
        </is>
      </c>
    </row>
    <row r="9" ht="85" customHeight="1">
      <c r="A9" s="6" t="inlineStr">
        <is>
          <t>Approach B:
Prompt-Driven Flash 3.1
(gemini-3.1-flash)</t>
        </is>
      </c>
      <c r="B9" s="7" t="inlineStr">
        <is>
          <t>Alternative translation approach where translation and pacing are guided using developer system instructions on standard Gemini Live streams.</t>
        </is>
      </c>
      <c r="C9" s="7" t="inlineStr">
        <is>
          <t>Requires custom pacing guidelines and manual turn timeouts. Adds a ~12.5% duration overhead to streaming audio output to prevent over-talk.</t>
        </is>
      </c>
      <c r="D9" s="7" t="inlineStr">
        <is>
          <t>High reasoning capability but moderately more expensive due to prompt instruction overhead and pacing audio duration expansion.</t>
        </is>
      </c>
    </row>
    <row r="10" ht="85" customHeight="1">
      <c r="A10" s="6" t="inlineStr">
        <is>
          <t>Approach C:
Prompt-Driven Flash 2.5
(gemini-2.5-flash)</t>
        </is>
      </c>
      <c r="B10" s="7" t="inlineStr">
        <is>
          <t>Legacy translation approach using previous-generation Gemini Live streams with developer system instruction prompts for pacing.</t>
        </is>
      </c>
      <c r="C10" s="7" t="inlineStr">
        <is>
          <t>Requires identical custom pacing guidelines as Approach B, adding a +12.5% pacing duration overhead to spoken outputs.</t>
        </is>
      </c>
      <c r="D10" s="7" t="inlineStr">
        <is>
          <t>Lowest unit text-token rate, but this minor saving is completely offset by the high audio streaming rates and pacing duration overhead.</t>
        </is>
      </c>
    </row>
    <row r="11" ht="85" customHeight="1">
      <c r="A11" s="6" t="inlineStr">
        <is>
          <t>Clinical Summary Feature:
Post-Call Summarization
(gemini-3.5-flash)</t>
        </is>
      </c>
      <c r="B11" s="7" t="inlineStr">
        <is>
          <t>Compiles the completed session transcript and generates a structured clinical SOAP note / summary immediately after the call is finished.</t>
        </is>
      </c>
      <c r="C11" s="7" t="inlineStr">
        <is>
          <t>Standard non-streaming unary text-to-text call triggered once upon call completion. No real-time audio streaming involved.</t>
        </is>
      </c>
      <c r="D11" s="7" t="inlineStr">
        <is>
          <t>VIRTUALLY FREE.
Costs less than 1/10th of a single cent ($0.00096 USD) per call, adding a negligible 0.14% cost overhead to the live stream.</t>
        </is>
      </c>
    </row>
  </sheetData>
  <mergeCells count="1"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  <c r="B3" s="3" t="n"/>
      <c r="C3" s="3" t="n"/>
      <c r="D3" s="3" t="n"/>
      <c r="E3" s="3" t="n"/>
    </row>
    <row r="4" ht="22" customHeight="1">
      <c r="A4" s="5" t="inlineStr">
        <is>
          <t>Parameter</t>
        </is>
      </c>
      <c r="B4" s="5" t="inlineStr">
        <is>
          <t>Value</t>
        </is>
      </c>
      <c r="C4" s="5" t="inlineStr">
        <is>
          <t>Description</t>
        </is>
      </c>
      <c r="D4" s="5" t="inlineStr"/>
      <c r="E4" s="5" t="inlineStr"/>
    </row>
    <row r="5" ht="20" customHeight="1">
      <c r="A5" s="8" t="inlineStr">
        <is>
          <t>AUD_USD_Exchange_Rate</t>
        </is>
      </c>
      <c r="B5" s="9" t="n">
        <v>1.515</v>
      </c>
      <c r="C5" s="10" t="inlineStr">
        <is>
          <t>Indicative exchange rate (1 USD = 1.515 AUD)</t>
        </is>
      </c>
    </row>
    <row r="6" ht="20" customHeight="1">
      <c r="A6" s="8" t="inlineStr">
        <is>
          <t>Average_Session_Duration_Minutes</t>
        </is>
      </c>
      <c r="B6" s="11" t="n">
        <v>30</v>
      </c>
      <c r="C6" s="10" t="inlineStr">
        <is>
          <t>Adjustable production clinical session length in minutes (rounded to 30 mins)</t>
        </is>
      </c>
    </row>
    <row r="7" ht="20" customHeight="1">
      <c r="A7" s="8" t="inlineStr">
        <is>
          <t>Weekly_Session_Volume</t>
        </is>
      </c>
      <c r="B7" s="11" t="n">
        <v>1730</v>
      </c>
      <c r="C7" s="10" t="inlineStr">
        <is>
          <t>Adjustable volume parameter (5% low target is 1,730/week; 10% high target is 3,460/week)</t>
        </is>
      </c>
    </row>
    <row r="8"/>
    <row r="9" ht="24" customHeight="1">
      <c r="A9" s="2" t="inlineStr">
        <is>
          <t>SECTION 2: MODEL UNIT RATES (USD)</t>
        </is>
      </c>
      <c r="B9" s="3" t="n"/>
      <c r="C9" s="3" t="n"/>
      <c r="D9" s="3" t="n"/>
      <c r="E9" s="3" t="n"/>
    </row>
    <row r="10" ht="22" customHeight="1">
      <c r="A10" s="5" t="inlineStr">
        <is>
          <t>Service/Item</t>
        </is>
      </c>
      <c r="B10" s="12" t="inlineStr">
        <is>
          <t>gemini-3.5-live-translate-preview</t>
        </is>
      </c>
      <c r="C10" s="12" t="inlineStr">
        <is>
          <t>gemini-3.1-flash</t>
        </is>
      </c>
      <c r="D10" s="12" t="inlineStr">
        <is>
          <t>gemini-2.5-flash</t>
        </is>
      </c>
      <c r="E10" s="5" t="inlineStr">
        <is>
          <t>Unit</t>
        </is>
      </c>
    </row>
    <row r="11" ht="20" customHeight="1">
      <c r="A11" s="8" t="inlineStr">
        <is>
          <t>Audio Input</t>
        </is>
      </c>
      <c r="B11" s="13" t="n">
        <v>3e-06</v>
      </c>
      <c r="C11" s="13" t="n">
        <v>3e-06</v>
      </c>
      <c r="D11" s="13" t="n">
        <v>3e-06</v>
      </c>
      <c r="E11" s="10" t="inlineStr">
        <is>
          <t>per token ($3.00 per 1M)</t>
        </is>
      </c>
    </row>
    <row r="12" ht="20" customHeight="1">
      <c r="A12" s="8" t="inlineStr">
        <is>
          <t>Audio Output</t>
        </is>
      </c>
      <c r="B12" s="13" t="n">
        <v>1.2e-05</v>
      </c>
      <c r="C12" s="13" t="n">
        <v>1.2e-05</v>
      </c>
      <c r="D12" s="13" t="n">
        <v>1.2e-05</v>
      </c>
      <c r="E12" s="10" t="inlineStr">
        <is>
          <t>per token ($12.00 per 1M)</t>
        </is>
      </c>
    </row>
    <row r="13" ht="20" customHeight="1">
      <c r="A13" s="8" t="inlineStr">
        <is>
          <t>Text Input</t>
        </is>
      </c>
      <c r="B13" s="13" t="n">
        <v>7.5e-07</v>
      </c>
      <c r="C13" s="13" t="n">
        <v>7.5e-07</v>
      </c>
      <c r="D13" s="13" t="n">
        <v>7.5e-08</v>
      </c>
      <c r="E13" s="10" t="inlineStr">
        <is>
          <t>per token ($0.75/$0.075 per 1M)</t>
        </is>
      </c>
    </row>
    <row r="14" ht="20" customHeight="1">
      <c r="A14" s="8" t="inlineStr">
        <is>
          <t>Text Output</t>
        </is>
      </c>
      <c r="B14" s="13" t="n">
        <v>4.5e-06</v>
      </c>
      <c r="C14" s="13" t="n">
        <v>4.5e-06</v>
      </c>
      <c r="D14" s="13" t="n">
        <v>3e-07</v>
      </c>
      <c r="E14" s="10" t="inlineStr">
        <is>
          <t>per token ($4.50/$0.30 per 1M)</t>
        </is>
      </c>
    </row>
    <row r="15" ht="20" customHeight="1">
      <c r="A15" s="8" t="inlineStr">
        <is>
          <t>Cached Read</t>
        </is>
      </c>
      <c r="B15" s="13" t="n">
        <v>1.5e-07</v>
      </c>
      <c r="C15" s="13" t="n">
        <v>1.5e-07</v>
      </c>
      <c r="D15" s="13" t="n">
        <v>1.5e-08</v>
      </c>
      <c r="E15" s="10" t="inlineStr">
        <is>
          <t>per token ($0.15/$0.015 per 1M)</t>
        </is>
      </c>
    </row>
    <row r="16" ht="20" customHeight="1">
      <c r="A16" s="8" t="inlineStr">
        <is>
          <t>Cache Storage</t>
        </is>
      </c>
      <c r="B16" s="13" t="n">
        <v>1e-06</v>
      </c>
      <c r="C16" s="13" t="n">
        <v>1e-06</v>
      </c>
      <c r="D16" s="13" t="n">
        <v>1e-07</v>
      </c>
      <c r="E16" s="10" t="inlineStr">
        <is>
          <t>per token ($1.00/$0.10 per 1M)</t>
        </is>
      </c>
    </row>
    <row r="17"/>
    <row r="18" ht="24" customHeight="1">
      <c r="A18" s="2" t="inlineStr">
        <is>
          <t>SECTION 3: EMPIRICAL BASES &amp; FORMULAS (PER SESSION)</t>
        </is>
      </c>
      <c r="B18" s="3" t="n"/>
      <c r="C18" s="3" t="n"/>
      <c r="D18" s="3" t="n"/>
      <c r="E18" s="3" t="n"/>
    </row>
    <row r="19" ht="22" customHeight="1">
      <c r="A19" s="5" t="inlineStr">
        <is>
          <t>Metric/Calculation</t>
        </is>
      </c>
      <c r="B19" s="12" t="inlineStr">
        <is>
          <t>Approach A: Native 3.5</t>
        </is>
      </c>
      <c r="C19" s="12" t="inlineStr">
        <is>
          <t>Approach B: 3.1 Flash Prompt-driven</t>
        </is>
      </c>
      <c r="D19" s="12" t="inlineStr">
        <is>
          <t>Approach C: 2.5 Flash Prompt-driven</t>
        </is>
      </c>
      <c r="E19" s="5" t="inlineStr">
        <is>
          <t>Formula Description</t>
        </is>
      </c>
    </row>
    <row r="20" ht="20" customHeight="1">
      <c r="A20" s="10" t="inlineStr">
        <is>
          <t>Prompt Cache Read Size (Tokens)</t>
        </is>
      </c>
      <c r="B20" s="14" t="n">
        <v>1000</v>
      </c>
      <c r="C20" s="14" t="n">
        <v>3000</v>
      </c>
      <c r="D20" s="14" t="n">
        <v>3000</v>
      </c>
      <c r="E20" s="10" t="inlineStr">
        <is>
          <t>Static instructions + glossary context</t>
        </is>
      </c>
    </row>
    <row r="21" ht="20" customHeight="1">
      <c r="A21" s="10" t="inlineStr">
        <is>
          <t>Prompt Cache Read Cost (USD)</t>
        </is>
      </c>
      <c r="B21" s="15">
        <f>B20*B15</f>
        <v/>
      </c>
      <c r="C21" s="15">
        <f>C20*C15</f>
        <v/>
      </c>
      <c r="D21" s="15">
        <f>D20*D15</f>
        <v/>
      </c>
      <c r="E21" s="10" t="inlineStr">
        <is>
          <t>Tokens * Cache Read Rate</t>
        </is>
      </c>
    </row>
    <row r="22" ht="20" customHeight="1">
      <c r="A22" s="10" t="inlineStr">
        <is>
          <t>Audio Input Tokens per Session</t>
        </is>
      </c>
      <c r="B22" s="14">
        <f>2*$B$6*60*250</f>
        <v/>
      </c>
      <c r="C22" s="14">
        <f>2*$B$6*60*250</f>
        <v/>
      </c>
      <c r="D22" s="14">
        <f>2*$B$6*60*250</f>
        <v/>
      </c>
      <c r="E22" s="10" t="inlineStr">
        <is>
          <t>2 connections * Duration in seconds * 250 tokens/sec</t>
        </is>
      </c>
    </row>
    <row r="23" ht="20" customHeight="1">
      <c r="A23" s="10" t="inlineStr">
        <is>
          <t>Audio Input Cost (USD)</t>
        </is>
      </c>
      <c r="B23" s="16">
        <f>B22*B11</f>
        <v/>
      </c>
      <c r="C23" s="16">
        <f>C22*C11</f>
        <v/>
      </c>
      <c r="D23" s="16">
        <f>D22*D11</f>
        <v/>
      </c>
      <c r="E23" s="10" t="inlineStr">
        <is>
          <t>Tokens * Audio Input Rate</t>
        </is>
      </c>
    </row>
    <row r="24" ht="20" customHeight="1">
      <c r="A24" s="10" t="inlineStr">
        <is>
          <t>Spoken Dialogue Word Count (Est.)</t>
        </is>
      </c>
      <c r="B24" s="14">
        <f>$B$6*200</f>
        <v/>
      </c>
      <c r="C24" s="14">
        <f>$B$6*200</f>
        <v/>
      </c>
      <c r="D24" s="14">
        <f>$B$6*200</f>
        <v/>
      </c>
      <c r="E24" s="10" t="inlineStr">
        <is>
          <t>Estimated transcript words (200 words/min average)</t>
        </is>
      </c>
    </row>
    <row r="25" ht="20" customHeight="1">
      <c r="A25" s="10" t="inlineStr">
        <is>
          <t>Audio Output Pacing Duration (Sec)</t>
        </is>
      </c>
      <c r="B25" s="14">
        <f>(B24/2.5)</f>
        <v/>
      </c>
      <c r="C25" s="14">
        <f>(C24/2.5)*1.125</f>
        <v/>
      </c>
      <c r="D25" s="14">
        <f>(D24/2.5)*1.125</f>
        <v/>
      </c>
      <c r="E25" s="10" t="inlineStr">
        <is>
          <t>150 words/min spoken rate + pacing overhead</t>
        </is>
      </c>
    </row>
    <row r="26" ht="20" customHeight="1">
      <c r="A26" s="10" t="inlineStr">
        <is>
          <t>Audio Output Tokens per Session</t>
        </is>
      </c>
      <c r="B26" s="14">
        <f>B25*250</f>
        <v/>
      </c>
      <c r="C26" s="14">
        <f>C25*250</f>
        <v/>
      </c>
      <c r="D26" s="14">
        <f>D25*250</f>
        <v/>
      </c>
      <c r="E26" s="10" t="inlineStr">
        <is>
          <t>Spoken seconds * 250 tokens/sec</t>
        </is>
      </c>
    </row>
    <row r="27" ht="20" customHeight="1">
      <c r="A27" s="10" t="inlineStr">
        <is>
          <t>Audio Output Cost (USD)</t>
        </is>
      </c>
      <c r="B27" s="16">
        <f>B26*B12</f>
        <v/>
      </c>
      <c r="C27" s="16">
        <f>C26*C12</f>
        <v/>
      </c>
      <c r="D27" s="16">
        <f>D26*D12</f>
        <v/>
      </c>
      <c r="E27" s="10" t="inlineStr">
        <is>
          <t>Tokens * Audio Output Rate</t>
        </is>
      </c>
    </row>
    <row r="28" ht="20" customHeight="1">
      <c r="A28" s="10" t="inlineStr">
        <is>
          <t>Transcription Text Output (Tokens)</t>
        </is>
      </c>
      <c r="B28" s="14">
        <f>(B24*2.2)*1.33</f>
        <v/>
      </c>
      <c r="C28" s="14">
        <f>(C24*2.2)*1.33</f>
        <v/>
      </c>
      <c r="D28" s="14">
        <f>(D24*2.2)*1.33</f>
        <v/>
      </c>
      <c r="E28" s="10" t="inlineStr">
        <is>
          <t>(Spoken + Translated words) * 1.33 tokens/word</t>
        </is>
      </c>
    </row>
    <row r="29" ht="20" customHeight="1">
      <c r="A29" s="10" t="inlineStr">
        <is>
          <t>Transcription Text Cost (USD)</t>
        </is>
      </c>
      <c r="B29" s="17">
        <f>B28*B14</f>
        <v/>
      </c>
      <c r="C29" s="17">
        <f>C28*C14</f>
        <v/>
      </c>
      <c r="D29" s="17">
        <f>D28*D14</f>
        <v/>
      </c>
      <c r="E29" s="10" t="inlineStr">
        <is>
          <t>Tokens * Text Output Rate</t>
        </is>
      </c>
    </row>
    <row r="30" ht="20" customHeight="1">
      <c r="A30" s="10" t="inlineStr">
        <is>
          <t>Post-Call Summary Input (Tokens)</t>
        </is>
      </c>
      <c r="B30" s="14">
        <f>B28</f>
        <v/>
      </c>
      <c r="C30" s="14">
        <f>C28</f>
        <v/>
      </c>
      <c r="D30" s="14">
        <f>D28</f>
        <v/>
      </c>
      <c r="E30" s="10" t="inlineStr">
        <is>
          <t>Input size of the compiled transcript text (matched to Row 28)</t>
        </is>
      </c>
    </row>
    <row r="31" ht="20" customHeight="1">
      <c r="A31" s="10" t="inlineStr">
        <is>
          <t>Post-Call Summary Output (Tokens)</t>
        </is>
      </c>
      <c r="B31" s="14" t="n">
        <v>1200</v>
      </c>
      <c r="C31" s="14" t="n">
        <v>1200</v>
      </c>
      <c r="D31" s="14" t="n">
        <v>1200</v>
      </c>
      <c r="E31" s="10" t="inlineStr">
        <is>
          <t>Output size of the generated structured clinical SOAP note</t>
        </is>
      </c>
    </row>
    <row r="32" ht="20" customHeight="1">
      <c r="A32" s="10" t="inlineStr">
        <is>
          <t>Post-Call Summary Cost (USD)</t>
        </is>
      </c>
      <c r="B32" s="15">
        <f>B30*B13+B31*B14</f>
        <v/>
      </c>
      <c r="C32" s="15">
        <f>C30*C13+C31*C14</f>
        <v/>
      </c>
      <c r="D32" s="15">
        <f>D30*D13+D31*D14</f>
        <v/>
      </c>
      <c r="E32" s="10" t="inlineStr">
        <is>
          <t>Summary Input &amp; Output * Model Text Rates (Row 13 &amp; 14)</t>
        </is>
      </c>
    </row>
    <row r="33" ht="22" customHeight="1">
      <c r="A33" s="18" t="inlineStr">
        <is>
          <t>Total Session Cost (USD)</t>
        </is>
      </c>
      <c r="B33" s="19">
        <f>B21+B23+B27+B29+B32</f>
        <v/>
      </c>
      <c r="C33" s="19">
        <f>C21+C23+C27+C29+C32</f>
        <v/>
      </c>
      <c r="D33" s="19">
        <f>D21+D23+D27+D29+D32</f>
        <v/>
      </c>
      <c r="E33" s="18" t="inlineStr">
        <is>
          <t>Sum of all live streaming &amp; summary costs</t>
        </is>
      </c>
    </row>
    <row r="34" ht="22" customHeight="1">
      <c r="A34" s="18" t="inlineStr">
        <is>
          <t>Total Session Cost (AUD)</t>
        </is>
      </c>
      <c r="B34" s="19">
        <f>B33*$B$5</f>
        <v/>
      </c>
      <c r="C34" s="19">
        <f>C33*$B$5</f>
        <v/>
      </c>
      <c r="D34" s="19">
        <f>D33*$B$5</f>
        <v/>
      </c>
      <c r="E34" s="18" t="inlineStr">
        <is>
          <t>USD Cost * Exchange Rate</t>
        </is>
      </c>
    </row>
    <row r="35"/>
    <row r="36" ht="24" customHeight="1">
      <c r="A36" s="2" t="inlineStr">
        <is>
          <t>SECTION 4: VOLUME PROJECTION CALCULATOR</t>
        </is>
      </c>
      <c r="B36" s="3" t="n"/>
      <c r="C36" s="3" t="n"/>
      <c r="D36" s="3" t="n"/>
      <c r="E36" s="3" t="n"/>
    </row>
    <row r="37" ht="22" customHeight="1">
      <c r="A37" s="5" t="inlineStr">
        <is>
          <t>Volume / Projections</t>
        </is>
      </c>
      <c r="B37" s="12" t="inlineStr">
        <is>
          <t>Approach A: Native 3.5</t>
        </is>
      </c>
      <c r="C37" s="12" t="inlineStr">
        <is>
          <t>Approach B: 3.1 Flash Prompt-driven</t>
        </is>
      </c>
      <c r="D37" s="12" t="inlineStr">
        <is>
          <t>Approach C: 2.5 Flash Prompt-driven</t>
        </is>
      </c>
      <c r="E37" s="5" t="inlineStr">
        <is>
          <t>Notes</t>
        </is>
      </c>
    </row>
    <row r="38" ht="20" customHeight="1">
      <c r="A38" s="10" t="inlineStr">
        <is>
          <t>Weekly Cost (USD)</t>
        </is>
      </c>
      <c r="B38" s="16">
        <f>B33*$B$7</f>
        <v/>
      </c>
      <c r="C38" s="16">
        <f>C33*$B$7</f>
        <v/>
      </c>
      <c r="D38" s="16">
        <f>D33*$B$7</f>
        <v/>
      </c>
      <c r="E38" s="10" t="inlineStr">
        <is>
          <t>Sessions/Week * Session Cost (Row 33)</t>
        </is>
      </c>
    </row>
    <row r="39" ht="20" customHeight="1">
      <c r="A39" s="10" t="inlineStr">
        <is>
          <t>Weekly Cost (AUD)</t>
        </is>
      </c>
      <c r="B39" s="16">
        <f>B38*$B$5</f>
        <v/>
      </c>
      <c r="C39" s="16">
        <f>C38*$B$5</f>
        <v/>
      </c>
      <c r="D39" s="16">
        <f>D38*$B$5</f>
        <v/>
      </c>
      <c r="E39" s="10" t="inlineStr">
        <is>
          <t>Weekly USD * Exchange Rate</t>
        </is>
      </c>
    </row>
    <row r="40" ht="20" customHeight="1">
      <c r="A40" s="10" t="inlineStr">
        <is>
          <t>Monthly Cost (USD)</t>
        </is>
      </c>
      <c r="B40" s="16">
        <f>B38*4.33</f>
        <v/>
      </c>
      <c r="C40" s="16">
        <f>C38*4.33</f>
        <v/>
      </c>
      <c r="D40" s="16">
        <f>D38*4.33</f>
        <v/>
      </c>
      <c r="E40" s="10" t="inlineStr">
        <is>
          <t>Weekly Cost * 4.33 weeks/month</t>
        </is>
      </c>
    </row>
    <row r="41" ht="20" customHeight="1">
      <c r="A41" s="10" t="inlineStr">
        <is>
          <t>Monthly Cost (AUD)</t>
        </is>
      </c>
      <c r="B41" s="16">
        <f>B40*$B$5</f>
        <v/>
      </c>
      <c r="C41" s="16">
        <f>C40*$B$5</f>
        <v/>
      </c>
      <c r="D41" s="16">
        <f>D40*$B$5</f>
        <v/>
      </c>
      <c r="E41" s="10" t="inlineStr">
        <is>
          <t>Monthly USD * Exchange Rate</t>
        </is>
      </c>
    </row>
    <row r="42" ht="20" customHeight="1">
      <c r="A42" s="10" t="inlineStr">
        <is>
          <t>Annual Cost (USD)</t>
        </is>
      </c>
      <c r="B42" s="16">
        <f>B38*52</f>
        <v/>
      </c>
      <c r="C42" s="16">
        <f>C38*52</f>
        <v/>
      </c>
      <c r="D42" s="16">
        <f>D38*52</f>
        <v/>
      </c>
      <c r="E42" s="10" t="inlineStr">
        <is>
          <t>Weekly Cost * 52 weeks</t>
        </is>
      </c>
    </row>
    <row r="43" ht="22" customHeight="1">
      <c r="A43" s="18" t="inlineStr">
        <is>
          <t>Annual Cost (AUD)</t>
        </is>
      </c>
      <c r="B43" s="19">
        <f>B42*$B$5</f>
        <v/>
      </c>
      <c r="C43" s="19">
        <f>C42*$B$5</f>
        <v/>
      </c>
      <c r="D43" s="19">
        <f>D42*$B$5</f>
        <v/>
      </c>
      <c r="E43" s="18" t="inlineStr">
        <is>
          <t>Annual USD * Exchange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2026-08-03T01:56:40Z</dcterms:created>
  <dcterms:modified xsi:type="dcterms:W3CDTF">2026-08-03T01:56:40Z</dcterms:modified>
</cp:coreProperties>
</file>